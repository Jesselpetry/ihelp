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tan/Desktop/Keep/KMITL/kmitl-archive/archive/Y1-S1-2569/IT-Fundamentals/unsorted/"/>
    </mc:Choice>
  </mc:AlternateContent>
  <xr:revisionPtr revIDLastSave="0" documentId="8_{EF04F7FF-3C10-E146-8E16-1524E133E9F5}" xr6:coauthVersionLast="47" xr6:coauthVersionMax="47" xr10:uidLastSave="{00000000-0000-0000-0000-000000000000}"/>
  <bookViews>
    <workbookView xWindow="0" yWindow="660" windowWidth="30240" windowHeight="17680" xr2:uid="{4DC04968-1907-4F21-AF23-1933080685B0}"/>
  </bookViews>
  <sheets>
    <sheet name="LAB" sheetId="5" r:id="rId1"/>
    <sheet name="CommissionRate" sheetId="1" r:id="rId2"/>
    <sheet name="BonusRate" sheetId="2" r:id="rId3"/>
    <sheet name="SaleRecord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5" l="1"/>
  <c r="E5" i="5" s="1"/>
  <c r="C6" i="5"/>
  <c r="E6" i="5" s="1"/>
  <c r="C7" i="5"/>
  <c r="E7" i="5" s="1"/>
  <c r="E3" i="5"/>
  <c r="C4" i="5"/>
  <c r="E4" i="5" s="1"/>
  <c r="C3" i="5"/>
  <c r="B3" i="5"/>
  <c r="D3" i="5" s="1"/>
  <c r="B4" i="5"/>
  <c r="D4" i="5" s="1"/>
  <c r="B6" i="5"/>
  <c r="D6" i="5" s="1"/>
  <c r="B5" i="5"/>
  <c r="D5" i="5" s="1"/>
  <c r="B7" i="5"/>
  <c r="D7" i="5" s="1"/>
  <c r="A6" i="2"/>
  <c r="A5" i="2"/>
  <c r="A4" i="2"/>
  <c r="A3" i="2"/>
  <c r="A6" i="1"/>
  <c r="A5" i="1"/>
  <c r="A4" i="1"/>
  <c r="A3" i="1"/>
</calcChain>
</file>

<file path=xl/sharedStrings.xml><?xml version="1.0" encoding="utf-8"?>
<sst xmlns="http://schemas.openxmlformats.org/spreadsheetml/2006/main" count="29" uniqueCount="21">
  <si>
    <t>Monthly Commission Structure</t>
  </si>
  <si>
    <t>Sales Tier</t>
  </si>
  <si>
    <t>Tier Minimum</t>
  </si>
  <si>
    <t>Commission Rate</t>
  </si>
  <si>
    <t>Bonus Structure</t>
  </si>
  <si>
    <t>Bonus Rate</t>
  </si>
  <si>
    <t>Monthly Sale Records</t>
  </si>
  <si>
    <t>Salesman</t>
  </si>
  <si>
    <t>Joe</t>
  </si>
  <si>
    <t>Emmett</t>
  </si>
  <si>
    <t>Michael</t>
  </si>
  <si>
    <t>Phillip</t>
  </si>
  <si>
    <t>Sandra</t>
  </si>
  <si>
    <t>July 2026</t>
  </si>
  <si>
    <t>August 2026</t>
  </si>
  <si>
    <t>September 2026</t>
  </si>
  <si>
    <t>Total Sales (Baht)</t>
  </si>
  <si>
    <t>Total Commission Income</t>
  </si>
  <si>
    <t>Bonus</t>
  </si>
  <si>
    <t>Employee Total Income</t>
  </si>
  <si>
    <t>Sales Compensation Report - Q3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</si>
</sst>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[$-1070000]d/mm/yyyy;@"/>
    <numFmt numFmtId="166" formatCode="_(* #,##0_);_(* \(#,##0\);_(* &quot;-&quot;??_);_(@_)"/>
  </numFmts>
  <fonts count="10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THSarabunNew"/>
    </font>
    <font>
      <sz val="16"/>
      <color theme="1"/>
      <name val="THSarabunNew"/>
    </font>
    <font>
      <sz val="16"/>
      <color rgb="FF000000"/>
      <name val="THSarabunNew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3" fontId="5" fillId="0" borderId="0" xfId="1" applyNumberFormat="1" applyFont="1" applyBorder="1" applyAlignment="1">
      <alignment horizontal="right"/>
    </xf>
    <xf numFmtId="9" fontId="5" fillId="0" borderId="3" xfId="2" applyFont="1" applyBorder="1" applyAlignment="1">
      <alignment horizontal="center"/>
    </xf>
    <xf numFmtId="43" fontId="6" fillId="0" borderId="0" xfId="0" applyNumberFormat="1" applyFont="1"/>
    <xf numFmtId="0" fontId="5" fillId="0" borderId="4" xfId="0" applyFont="1" applyBorder="1"/>
    <xf numFmtId="3" fontId="5" fillId="0" borderId="1" xfId="1" applyNumberFormat="1" applyFont="1" applyBorder="1" applyAlignment="1">
      <alignment horizontal="right"/>
    </xf>
    <xf numFmtId="9" fontId="5" fillId="0" borderId="4" xfId="2" applyFont="1" applyBorder="1" applyAlignment="1">
      <alignment horizontal="center"/>
    </xf>
    <xf numFmtId="0" fontId="3" fillId="0" borderId="0" xfId="0" applyFont="1" applyAlignment="1">
      <alignment horizontal="center"/>
    </xf>
    <xf numFmtId="43" fontId="3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165" fontId="4" fillId="0" borderId="2" xfId="0" quotePrefix="1" applyNumberFormat="1" applyFont="1" applyBorder="1" applyAlignment="1">
      <alignment horizontal="center"/>
    </xf>
    <xf numFmtId="0" fontId="5" fillId="0" borderId="6" xfId="0" applyFont="1" applyBorder="1"/>
    <xf numFmtId="166" fontId="5" fillId="0" borderId="3" xfId="1" applyNumberFormat="1" applyFont="1" applyBorder="1"/>
    <xf numFmtId="166" fontId="5" fillId="0" borderId="3" xfId="1" applyNumberFormat="1" applyFont="1" applyBorder="1" applyAlignment="1">
      <alignment horizontal="center"/>
    </xf>
    <xf numFmtId="41" fontId="5" fillId="0" borderId="3" xfId="0" applyNumberFormat="1" applyFont="1" applyBorder="1"/>
    <xf numFmtId="0" fontId="5" fillId="0" borderId="7" xfId="0" applyFont="1" applyBorder="1"/>
    <xf numFmtId="166" fontId="5" fillId="0" borderId="4" xfId="1" applyNumberFormat="1" applyFont="1" applyBorder="1"/>
    <xf numFmtId="166" fontId="5" fillId="0" borderId="4" xfId="1" applyNumberFormat="1" applyFont="1" applyBorder="1" applyAlignment="1">
      <alignment horizontal="center"/>
    </xf>
    <xf numFmtId="41" fontId="5" fillId="0" borderId="4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3" fontId="8" fillId="0" borderId="8" xfId="0" applyNumberFormat="1" applyFont="1" applyBorder="1" applyAlignment="1">
      <alignment horizontal="center" vertical="center"/>
    </xf>
    <xf numFmtId="4" fontId="8" fillId="0" borderId="8" xfId="0" applyNumberFormat="1" applyFont="1" applyBorder="1" applyAlignment="1">
      <alignment horizontal="center" vertical="center"/>
    </xf>
    <xf numFmtId="4" fontId="9" fillId="0" borderId="8" xfId="0" applyNumberFormat="1" applyFont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TH" sz="1800" b="1" i="0" u="none" strike="noStrike">
                <a:effectLst/>
              </a:rPr>
              <a:t>Sales Compensation Report - Q3 2026</a:t>
            </a:r>
            <a:r>
              <a:rPr lang="en-TH">
                <a:effectLst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LAB!$A$3</c:f>
              <c:strCache>
                <c:ptCount val="1"/>
                <c:pt idx="0">
                  <c:v>Joe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LAB!$B$1:$E$2</c:f>
              <c:strCache>
                <c:ptCount val="4"/>
                <c:pt idx="0">
                  <c:v>Total Sales (Baht)</c:v>
                </c:pt>
                <c:pt idx="1">
                  <c:v>Total Commission Income</c:v>
                </c:pt>
                <c:pt idx="2">
                  <c:v>Bonus</c:v>
                </c:pt>
                <c:pt idx="3">
                  <c:v>Employee Total Income</c:v>
                </c:pt>
              </c:strCache>
            </c:strRef>
          </c:cat>
          <c:val>
            <c:numRef>
              <c:f>LAB!$B$3:$E$3</c:f>
              <c:numCache>
                <c:formatCode>#,##0</c:formatCode>
                <c:ptCount val="4"/>
                <c:pt idx="0">
                  <c:v>790298</c:v>
                </c:pt>
                <c:pt idx="1">
                  <c:v>33714.9</c:v>
                </c:pt>
                <c:pt idx="2" formatCode="#,##0.00">
                  <c:v>31611.920000000002</c:v>
                </c:pt>
                <c:pt idx="3" formatCode="#,##0.00">
                  <c:v>65326.820000000007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83-7F44-AD67-8D097E5AC690}"/>
            </c:ext>
          </c:extLst>
        </c:ser>
        <c:ser>
          <c:idx val="1"/>
          <c:order val="1"/>
          <c:tx>
            <c:strRef>
              <c:f>LAB!$A$4</c:f>
              <c:strCache>
                <c:ptCount val="1"/>
                <c:pt idx="0">
                  <c:v>Emmett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LAB!$B$1:$E$2</c:f>
              <c:strCache>
                <c:ptCount val="4"/>
                <c:pt idx="0">
                  <c:v>Total Sales (Baht)</c:v>
                </c:pt>
                <c:pt idx="1">
                  <c:v>Total Commission Income</c:v>
                </c:pt>
                <c:pt idx="2">
                  <c:v>Bonus</c:v>
                </c:pt>
                <c:pt idx="3">
                  <c:v>Employee Total Income</c:v>
                </c:pt>
              </c:strCache>
            </c:strRef>
          </c:cat>
          <c:val>
            <c:numRef>
              <c:f>LAB!$B$4:$E$4</c:f>
              <c:numCache>
                <c:formatCode>#,##0</c:formatCode>
                <c:ptCount val="4"/>
                <c:pt idx="0">
                  <c:v>790551</c:v>
                </c:pt>
                <c:pt idx="1">
                  <c:v>35905.509999999995</c:v>
                </c:pt>
                <c:pt idx="2" formatCode="#,##0.00">
                  <c:v>31622.04</c:v>
                </c:pt>
                <c:pt idx="3" formatCode="#,##0.00">
                  <c:v>67527.549999999988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83-7F44-AD67-8D097E5AC690}"/>
            </c:ext>
          </c:extLst>
        </c:ser>
        <c:ser>
          <c:idx val="2"/>
          <c:order val="2"/>
          <c:tx>
            <c:strRef>
              <c:f>LAB!$A$5</c:f>
              <c:strCache>
                <c:ptCount val="1"/>
                <c:pt idx="0">
                  <c:v>Michael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LAB!$B$1:$E$2</c:f>
              <c:strCache>
                <c:ptCount val="4"/>
                <c:pt idx="0">
                  <c:v>Total Sales (Baht)</c:v>
                </c:pt>
                <c:pt idx="1">
                  <c:v>Total Commission Income</c:v>
                </c:pt>
                <c:pt idx="2">
                  <c:v>Bonus</c:v>
                </c:pt>
                <c:pt idx="3">
                  <c:v>Employee Total Income</c:v>
                </c:pt>
              </c:strCache>
            </c:strRef>
          </c:cat>
          <c:val>
            <c:numRef>
              <c:f>LAB!$B$5:$E$5</c:f>
              <c:numCache>
                <c:formatCode>#,##0</c:formatCode>
                <c:ptCount val="4"/>
                <c:pt idx="0">
                  <c:v>773832</c:v>
                </c:pt>
                <c:pt idx="1">
                  <c:v>34891.599999999999</c:v>
                </c:pt>
                <c:pt idx="2" formatCode="#,##0.00">
                  <c:v>30953.279999999999</c:v>
                </c:pt>
                <c:pt idx="3" formatCode="#,##0.00">
                  <c:v>65844.88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83-7F44-AD67-8D097E5AC690}"/>
            </c:ext>
          </c:extLst>
        </c:ser>
        <c:ser>
          <c:idx val="3"/>
          <c:order val="3"/>
          <c:tx>
            <c:strRef>
              <c:f>LAB!$A$6</c:f>
              <c:strCache>
                <c:ptCount val="1"/>
                <c:pt idx="0">
                  <c:v>Phillip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LAB!$B$1:$E$2</c:f>
              <c:strCache>
                <c:ptCount val="4"/>
                <c:pt idx="0">
                  <c:v>Total Sales (Baht)</c:v>
                </c:pt>
                <c:pt idx="1">
                  <c:v>Total Commission Income</c:v>
                </c:pt>
                <c:pt idx="2">
                  <c:v>Bonus</c:v>
                </c:pt>
                <c:pt idx="3">
                  <c:v>Employee Total Income</c:v>
                </c:pt>
              </c:strCache>
            </c:strRef>
          </c:cat>
          <c:val>
            <c:numRef>
              <c:f>LAB!$B$6:$E$6</c:f>
              <c:numCache>
                <c:formatCode>#,##0</c:formatCode>
                <c:ptCount val="4"/>
                <c:pt idx="0">
                  <c:v>452447</c:v>
                </c:pt>
                <c:pt idx="1">
                  <c:v>9413.41</c:v>
                </c:pt>
                <c:pt idx="2" formatCode="#,##0.00">
                  <c:v>9048.94</c:v>
                </c:pt>
                <c:pt idx="3" formatCode="#,##0.00">
                  <c:v>18462.349999999999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83-7F44-AD67-8D097E5AC690}"/>
            </c:ext>
          </c:extLst>
        </c:ser>
        <c:ser>
          <c:idx val="4"/>
          <c:order val="4"/>
          <c:tx>
            <c:strRef>
              <c:f>LAB!$A$7</c:f>
              <c:strCache>
                <c:ptCount val="1"/>
                <c:pt idx="0">
                  <c:v>Sandra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LAB!$B$1:$E$2</c:f>
              <c:strCache>
                <c:ptCount val="4"/>
                <c:pt idx="0">
                  <c:v>Total Sales (Baht)</c:v>
                </c:pt>
                <c:pt idx="1">
                  <c:v>Total Commission Income</c:v>
                </c:pt>
                <c:pt idx="2">
                  <c:v>Bonus</c:v>
                </c:pt>
                <c:pt idx="3">
                  <c:v>Employee Total Income</c:v>
                </c:pt>
              </c:strCache>
            </c:strRef>
          </c:cat>
          <c:val>
            <c:numRef>
              <c:f>LAB!$B$7:$E$7</c:f>
              <c:numCache>
                <c:formatCode>#,##0</c:formatCode>
                <c:ptCount val="4"/>
                <c:pt idx="0">
                  <c:v>561026</c:v>
                </c:pt>
                <c:pt idx="1">
                  <c:v>16830.78</c:v>
                </c:pt>
                <c:pt idx="2" formatCode="#,##0.00">
                  <c:v>16830.78</c:v>
                </c:pt>
                <c:pt idx="3" formatCode="#,##0.00">
                  <c:v>33661.56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83-7F44-AD67-8D097E5AC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197632"/>
        <c:axId val="103199424"/>
      </c:barChart>
      <c:catAx>
        <c:axId val="103197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03199424"/>
        <c:crosses val="autoZero"/>
        <c:auto val="1"/>
        <c:lblAlgn val="ctr"/>
        <c:lblOffset val="100"/>
        <c:noMultiLvlLbl val="0"/>
      </c:catAx>
      <c:valAx>
        <c:axId val="103199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0319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469661</xdr:colOff>
      <xdr:row>0</xdr:row>
      <xdr:rowOff>0</xdr:rowOff>
    </xdr:from>
    <xdr:to>
      <xdr:col>11</xdr:col>
      <xdr:colOff>105434</xdr:colOff>
      <xdr:row>7</xdr:row>
      <xdr:rowOff>179238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180A99-9BB5-5CCB-6B57-96B3442DC9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BBF00-E3E1-A844-B2DE-E3CF8F62BB1F}">
  <dimension ref="A1:F7"/>
  <sheetViews>
    <sheetView tabSelected="1" topLeftCell="B1" zoomScale="159" workbookViewId="0">
      <selection activeCell="F17" sqref="F17"/>
    </sheetView>
  </sheetViews>
  <sheetFormatPr baseColWidth="10" defaultRowHeight="15"/>
  <cols>
    <col min="1" max="1" width="9.6640625" bestFit="1" customWidth="1"/>
    <col min="2" max="2" width="17.1640625" bestFit="1" customWidth="1"/>
    <col min="3" max="3" width="24.83203125" bestFit="1" customWidth="1"/>
    <col min="4" max="4" width="10.33203125" bestFit="1" customWidth="1"/>
    <col min="5" max="5" width="22.33203125" bestFit="1" customWidth="1"/>
  </cols>
  <sheetData>
    <row r="1" spans="1:6" ht="32" customHeight="1">
      <c r="A1" s="29" t="s">
        <v>20</v>
      </c>
      <c r="B1" s="29"/>
      <c r="C1" s="29"/>
      <c r="D1" s="29"/>
      <c r="E1" s="29"/>
      <c r="F1" s="23"/>
    </row>
    <row r="2" spans="1:6" ht="28" customHeight="1">
      <c r="A2" s="24" t="s">
        <v>7</v>
      </c>
      <c r="B2" s="24" t="s">
        <v>16</v>
      </c>
      <c r="C2" s="24" t="s">
        <v>17</v>
      </c>
      <c r="D2" s="24" t="s">
        <v>18</v>
      </c>
      <c r="E2" s="24" t="s">
        <v>19</v>
      </c>
      <c r="F2" s="22"/>
    </row>
    <row r="3" spans="1:6" ht="28" customHeight="1">
      <c r="A3" s="25" t="s">
        <v>8</v>
      </c>
      <c r="B3" s="26">
        <f>SUM(SaleRecords!B3:D3)</f>
        <v>790298</v>
      </c>
      <c r="C3" s="26">
        <f>(SaleRecords!B3*VLOOKUP(SaleRecords!B3, CommissionRate!$B$3:$C$6, 2, TRUE)) + (SaleRecords!C3*VLOOKUP(SaleRecords!C3, CommissionRate!$B$3:$C$6, 2, TRUE)) + (SaleRecords!D3*VLOOKUP(SaleRecords!D3, CommissionRate!$B$3:$C$6, 2, TRUE))</f>
        <v>33714.9</v>
      </c>
      <c r="D3" s="28">
        <f>IF(B3&gt;=200000, B3*VLOOKUP(B3, BonusRate!$B$3:$C$6, 2, TRUE), 0)</f>
        <v>31611.920000000002</v>
      </c>
      <c r="E3" s="27">
        <f>C3+D3</f>
        <v>65326.820000000007</v>
      </c>
      <c r="F3" s="22"/>
    </row>
    <row r="4" spans="1:6" ht="28" customHeight="1">
      <c r="A4" s="25" t="s">
        <v>9</v>
      </c>
      <c r="B4" s="26">
        <f>SUM(SaleRecords!B4:D4)</f>
        <v>790551</v>
      </c>
      <c r="C4" s="26">
        <f>(SaleRecords!B4*VLOOKUP(SaleRecords!B4, CommissionRate!$B$3:$C$6, 2, TRUE)) + (SaleRecords!C4*VLOOKUP(SaleRecords!C4, CommissionRate!$B$3:$C$6, 2, TRUE)) + (SaleRecords!D4*VLOOKUP(SaleRecords!D4, CommissionRate!$B$3:$C$6, 2, TRUE))</f>
        <v>35905.509999999995</v>
      </c>
      <c r="D4" s="28">
        <f>IF(B4&gt;=200000, B4*VLOOKUP(B4, BonusRate!$B$3:$C$6, 2, TRUE), 0)</f>
        <v>31622.04</v>
      </c>
      <c r="E4" s="27">
        <f>C4+D4</f>
        <v>67527.549999999988</v>
      </c>
      <c r="F4" s="22"/>
    </row>
    <row r="5" spans="1:6" ht="28" customHeight="1">
      <c r="A5" s="25" t="s">
        <v>10</v>
      </c>
      <c r="B5" s="26">
        <f>SUM(SaleRecords!B5:D5)</f>
        <v>773832</v>
      </c>
      <c r="C5" s="26">
        <f>(SaleRecords!B5*VLOOKUP(SaleRecords!B5, CommissionRate!$B$3:$C$6, 2, TRUE)) + (SaleRecords!C5*VLOOKUP(SaleRecords!C5, CommissionRate!$B$3:$C$6, 2, TRUE)) + (SaleRecords!D5*VLOOKUP(SaleRecords!D5, CommissionRate!$B$3:$C$6, 2, TRUE))</f>
        <v>34891.599999999999</v>
      </c>
      <c r="D5" s="28">
        <f>IF(B5&gt;=200000, B5*VLOOKUP(B5, BonusRate!$B$3:$C$6, 2, TRUE), 0)</f>
        <v>30953.279999999999</v>
      </c>
      <c r="E5" s="27">
        <f t="shared" ref="E5:E7" si="0">C5+D5</f>
        <v>65844.88</v>
      </c>
      <c r="F5" s="22"/>
    </row>
    <row r="6" spans="1:6" ht="28" customHeight="1">
      <c r="A6" s="25" t="s">
        <v>11</v>
      </c>
      <c r="B6" s="26">
        <f>SUM(SaleRecords!B6:D6)</f>
        <v>452447</v>
      </c>
      <c r="C6" s="26">
        <f>(SaleRecords!B6*VLOOKUP(SaleRecords!B6, CommissionRate!$B$3:$C$6, 2, TRUE)) + (SaleRecords!C6*VLOOKUP(SaleRecords!C6, CommissionRate!$B$3:$C$6, 2, TRUE)) + (SaleRecords!D6*VLOOKUP(SaleRecords!D6, CommissionRate!$B$3:$C$6, 2, TRUE))</f>
        <v>9413.41</v>
      </c>
      <c r="D6" s="28">
        <f>IF(B6&gt;=200000, B6*VLOOKUP(B6, BonusRate!$B$3:$C$6, 2, TRUE), 0)</f>
        <v>9048.94</v>
      </c>
      <c r="E6" s="27">
        <f t="shared" si="0"/>
        <v>18462.349999999999</v>
      </c>
      <c r="F6" s="22"/>
    </row>
    <row r="7" spans="1:6" ht="28" customHeight="1">
      <c r="A7" s="25" t="s">
        <v>12</v>
      </c>
      <c r="B7" s="26">
        <f>SUM(SaleRecords!B7:D7)</f>
        <v>561026</v>
      </c>
      <c r="C7" s="26">
        <f>(SaleRecords!B7*VLOOKUP(SaleRecords!B7, CommissionRate!$B$3:$C$6, 2, TRUE)) + (SaleRecords!C7*VLOOKUP(SaleRecords!C7, CommissionRate!$B$3:$C$6, 2, TRUE)) + (SaleRecords!D7*VLOOKUP(SaleRecords!D7, CommissionRate!$B$3:$C$6, 2, TRUE))</f>
        <v>16830.78</v>
      </c>
      <c r="D7" s="28">
        <f>IF(B7&gt;=200000, B7*VLOOKUP(B7, BonusRate!$B$3:$C$6, 2, TRUE), 0)</f>
        <v>16830.78</v>
      </c>
      <c r="E7" s="27">
        <f t="shared" si="0"/>
        <v>33661.56</v>
      </c>
      <c r="F7" s="22"/>
    </row>
  </sheetData>
  <mergeCells count="1">
    <mergeCell ref="A1:E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98D87-1E54-461E-B677-CCAE7EC7FE92}">
  <dimension ref="A1:D7"/>
  <sheetViews>
    <sheetView zoomScale="150" workbookViewId="0">
      <selection activeCell="C3" sqref="A1:C6"/>
    </sheetView>
  </sheetViews>
  <sheetFormatPr baseColWidth="10" defaultColWidth="8.83203125" defaultRowHeight="15"/>
  <cols>
    <col min="1" max="1" width="22.1640625" customWidth="1"/>
    <col min="2" max="2" width="23.1640625" customWidth="1"/>
    <col min="3" max="3" width="27" customWidth="1"/>
  </cols>
  <sheetData>
    <row r="1" spans="1:4" ht="25" thickBot="1">
      <c r="A1" s="30" t="s">
        <v>0</v>
      </c>
      <c r="B1" s="30"/>
      <c r="C1" s="30"/>
      <c r="D1" s="1"/>
    </row>
    <row r="2" spans="1:4" ht="23" thickBot="1">
      <c r="A2" s="2" t="s">
        <v>1</v>
      </c>
      <c r="B2" s="2" t="s">
        <v>2</v>
      </c>
      <c r="C2" s="2" t="s">
        <v>3</v>
      </c>
      <c r="D2" s="1"/>
    </row>
    <row r="3" spans="1:4" ht="22">
      <c r="A3" s="3" t="str">
        <f>TEXT(B3,"0")&amp;"-"&amp;TEXT(B4-1,"#,###")</f>
        <v>0-74,999</v>
      </c>
      <c r="B3" s="4">
        <v>0</v>
      </c>
      <c r="C3" s="5">
        <v>0</v>
      </c>
      <c r="D3" s="1"/>
    </row>
    <row r="4" spans="1:4" ht="22">
      <c r="A4" s="3" t="str">
        <f>TEXT(B4,"#,###")&amp;"-"&amp;TEXT(B5-1,"#,###")</f>
        <v>75,000-149,999</v>
      </c>
      <c r="B4" s="4">
        <v>75000</v>
      </c>
      <c r="C4" s="5">
        <v>0.01</v>
      </c>
      <c r="D4" s="6"/>
    </row>
    <row r="5" spans="1:4" ht="22">
      <c r="A5" s="3" t="str">
        <f>TEXT(B5,"#,###")&amp;"-"&amp;TEXT(B6-1,"#,###")</f>
        <v>150,000-249,999</v>
      </c>
      <c r="B5" s="4">
        <v>150000</v>
      </c>
      <c r="C5" s="5">
        <v>0.03</v>
      </c>
      <c r="D5" s="1"/>
    </row>
    <row r="6" spans="1:4" ht="23" thickBot="1">
      <c r="A6" s="7" t="str">
        <f>TEXT(B6,"#,###")&amp;"+"</f>
        <v>250,000+</v>
      </c>
      <c r="B6" s="8">
        <v>250000</v>
      </c>
      <c r="C6" s="9">
        <v>0.05</v>
      </c>
      <c r="D6" s="1"/>
    </row>
    <row r="7" spans="1:4" ht="19">
      <c r="A7" s="1"/>
      <c r="B7" s="10"/>
      <c r="C7" s="11"/>
      <c r="D7" s="1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56395-530B-4FEC-ADE8-DE45A495C5B4}">
  <dimension ref="A1:D7"/>
  <sheetViews>
    <sheetView zoomScale="160" workbookViewId="0">
      <selection activeCell="A4" sqref="A1:C6"/>
    </sheetView>
  </sheetViews>
  <sheetFormatPr baseColWidth="10" defaultColWidth="8.83203125" defaultRowHeight="15"/>
  <cols>
    <col min="1" max="1" width="29" customWidth="1"/>
    <col min="2" max="2" width="25.6640625" customWidth="1"/>
    <col min="3" max="3" width="19.6640625" customWidth="1"/>
  </cols>
  <sheetData>
    <row r="1" spans="1:4" ht="25" thickBot="1">
      <c r="A1" s="30" t="s">
        <v>4</v>
      </c>
      <c r="B1" s="30"/>
      <c r="C1" s="30"/>
      <c r="D1" s="1"/>
    </row>
    <row r="2" spans="1:4" ht="23" thickBot="1">
      <c r="A2" s="2" t="s">
        <v>1</v>
      </c>
      <c r="B2" s="2" t="s">
        <v>2</v>
      </c>
      <c r="C2" s="2" t="s">
        <v>5</v>
      </c>
      <c r="D2" s="1"/>
    </row>
    <row r="3" spans="1:4" ht="22">
      <c r="A3" s="3" t="str">
        <f>TEXT(B3,"#,###")&amp;"-"&amp;TEXT(B4-1,"#,###")</f>
        <v>200,000-299,999</v>
      </c>
      <c r="B3" s="4">
        <v>200000</v>
      </c>
      <c r="C3" s="5">
        <v>0.01</v>
      </c>
      <c r="D3" s="1"/>
    </row>
    <row r="4" spans="1:4" ht="22">
      <c r="A4" s="3" t="str">
        <f>TEXT(B4,"#,###")&amp;"-"&amp;TEXT(B5-1,"#,###")</f>
        <v>300,000-499,999</v>
      </c>
      <c r="B4" s="4">
        <v>300000</v>
      </c>
      <c r="C4" s="5">
        <v>0.02</v>
      </c>
      <c r="D4" s="6"/>
    </row>
    <row r="5" spans="1:4" ht="22">
      <c r="A5" s="3" t="str">
        <f>TEXT(B5,"#,###")&amp;"-"&amp;TEXT(B6-1,"#,###")</f>
        <v>500,000-699,999</v>
      </c>
      <c r="B5" s="4">
        <v>500000</v>
      </c>
      <c r="C5" s="5">
        <v>0.03</v>
      </c>
      <c r="D5" s="1"/>
    </row>
    <row r="6" spans="1:4" ht="23" thickBot="1">
      <c r="A6" s="7" t="str">
        <f>TEXT(B6,"#,###")&amp;"+"</f>
        <v>700,000+</v>
      </c>
      <c r="B6" s="8">
        <v>700000</v>
      </c>
      <c r="C6" s="9">
        <v>0.04</v>
      </c>
      <c r="D6" s="1"/>
    </row>
    <row r="7" spans="1:4" ht="19">
      <c r="A7" s="1"/>
      <c r="B7" s="10"/>
      <c r="C7" s="11"/>
      <c r="D7" s="1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DF1B1-3EE0-4B16-8A09-04F9B1E0B4E1}">
  <dimension ref="A1:E8"/>
  <sheetViews>
    <sheetView zoomScale="150" workbookViewId="0">
      <selection activeCell="D3" sqref="D3"/>
    </sheetView>
  </sheetViews>
  <sheetFormatPr baseColWidth="10" defaultColWidth="8.83203125" defaultRowHeight="15"/>
  <cols>
    <col min="1" max="1" width="16.83203125" customWidth="1"/>
    <col min="2" max="2" width="15.5" customWidth="1"/>
    <col min="3" max="3" width="19.6640625" customWidth="1"/>
    <col min="4" max="4" width="27" customWidth="1"/>
  </cols>
  <sheetData>
    <row r="1" spans="1:5" ht="25" thickBot="1">
      <c r="A1" s="30" t="s">
        <v>6</v>
      </c>
      <c r="B1" s="30"/>
      <c r="C1" s="30"/>
      <c r="D1" s="30"/>
      <c r="E1" s="1"/>
    </row>
    <row r="2" spans="1:5" ht="23" thickBot="1">
      <c r="A2" s="12" t="s">
        <v>7</v>
      </c>
      <c r="B2" s="13" t="s">
        <v>13</v>
      </c>
      <c r="C2" s="13" t="s">
        <v>14</v>
      </c>
      <c r="D2" s="13" t="s">
        <v>15</v>
      </c>
      <c r="E2" s="1"/>
    </row>
    <row r="3" spans="1:5" ht="22">
      <c r="A3" s="14" t="s">
        <v>8</v>
      </c>
      <c r="B3" s="15">
        <v>361298</v>
      </c>
      <c r="C3" s="16">
        <v>145000</v>
      </c>
      <c r="D3" s="17">
        <v>284000</v>
      </c>
      <c r="E3" s="1"/>
    </row>
    <row r="4" spans="1:5" ht="22">
      <c r="A4" s="14" t="s">
        <v>9</v>
      </c>
      <c r="B4" s="15">
        <v>90551</v>
      </c>
      <c r="C4" s="16">
        <v>360000</v>
      </c>
      <c r="D4" s="17">
        <v>340000</v>
      </c>
      <c r="E4" s="6"/>
    </row>
    <row r="5" spans="1:5" ht="22">
      <c r="A5" s="14" t="s">
        <v>10</v>
      </c>
      <c r="B5" s="15">
        <v>258832</v>
      </c>
      <c r="C5" s="16">
        <v>420000</v>
      </c>
      <c r="D5" s="17">
        <v>95000</v>
      </c>
      <c r="E5" s="1"/>
    </row>
    <row r="6" spans="1:5" ht="22">
      <c r="A6" s="14" t="s">
        <v>11</v>
      </c>
      <c r="B6" s="15">
        <v>244447</v>
      </c>
      <c r="C6" s="16">
        <v>85000</v>
      </c>
      <c r="D6" s="17">
        <v>123000</v>
      </c>
      <c r="E6" s="1"/>
    </row>
    <row r="7" spans="1:5" ht="23" thickBot="1">
      <c r="A7" s="18" t="s">
        <v>12</v>
      </c>
      <c r="B7" s="19">
        <v>156026</v>
      </c>
      <c r="C7" s="20">
        <v>210000</v>
      </c>
      <c r="D7" s="21">
        <v>195000</v>
      </c>
      <c r="E7" s="1"/>
    </row>
    <row r="8" spans="1:5" ht="19">
      <c r="A8" s="1"/>
      <c r="B8" s="1"/>
      <c r="C8" s="10"/>
      <c r="D8" s="1"/>
      <c r="E8" s="1"/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AD6D7B2CB57140AD8F11E278FEF91D" ma:contentTypeVersion="5" ma:contentTypeDescription="Create a new document." ma:contentTypeScope="" ma:versionID="6a9ecca2de5033f01ae6671089b41286">
  <xsd:schema xmlns:xsd="http://www.w3.org/2001/XMLSchema" xmlns:xs="http://www.w3.org/2001/XMLSchema" xmlns:p="http://schemas.microsoft.com/office/2006/metadata/properties" xmlns:ns3="f5246552-4245-40df-88e1-9dcd7bee9afb" targetNamespace="http://schemas.microsoft.com/office/2006/metadata/properties" ma:root="true" ma:fieldsID="0fb1ba17ace630b4fae2b184e6e92244" ns3:_="">
    <xsd:import namespace="f5246552-4245-40df-88e1-9dcd7bee9af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246552-4245-40df-88e1-9dcd7bee9a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CDB727-38BA-4EBD-9483-F03E63D0864D}">
  <ds:schemaRefs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  <ds:schemaRef ds:uri="f5246552-4245-40df-88e1-9dcd7bee9afb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6EF7AC6-6ABF-4870-85E1-835E06F8D8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0E2AF8-8439-483A-96F4-CC527CA000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246552-4245-40df-88e1-9dcd7bee9a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LAB</vt:lpstr>
      <vt:lpstr>CommissionRate</vt:lpstr>
      <vt:lpstr>BonusRate</vt:lpstr>
      <vt:lpstr>SaleRecords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Pornsuree Jamsri</dc:creator>
  <cp:lastModifiedBy>Chatan Petry</cp:lastModifiedBy>
  <dcterms:created xsi:type="dcterms:W3CDTF">2025-08-12T16:33:19Z</dcterms:created>
  <dcterms:modified xsi:type="dcterms:W3CDTF">2026-08-14T08:32:35Z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0x01010018AD6D7B2CB57140AD8F11E278FEF91D</vt:lpwstr>
  </property>
</Properties>
</file>